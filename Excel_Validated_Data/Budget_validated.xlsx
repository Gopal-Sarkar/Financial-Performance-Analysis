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51b5bceb0d921be/Desktop/Financial_Performance_Analysis/"/>
    </mc:Choice>
  </mc:AlternateContent>
  <xr:revisionPtr revIDLastSave="36" documentId="8_{CFEE30C4-20D8-4EED-910B-3437226C484B}" xr6:coauthVersionLast="47" xr6:coauthVersionMax="47" xr10:uidLastSave="{CB4EC047-A5B9-480C-A4BF-47FDFDFE3E4A}"/>
  <bookViews>
    <workbookView xWindow="-108" yWindow="-108" windowWidth="23256" windowHeight="12456" xr2:uid="{058D4A8D-8013-4399-A987-8BE18BC1194F}"/>
  </bookViews>
  <sheets>
    <sheet name="Budget" sheetId="1" r:id="rId1"/>
  </sheets>
  <definedNames>
    <definedName name="_xlnm._FilterDatabase" localSheetId="0" hidden="1">Budget!$A$1:$G$73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2" i="1"/>
</calcChain>
</file>

<file path=xl/sharedStrings.xml><?xml version="1.0" encoding="utf-8"?>
<sst xmlns="http://schemas.openxmlformats.org/spreadsheetml/2006/main" count="80" uniqueCount="11">
  <si>
    <t>year</t>
  </si>
  <si>
    <t>month</t>
  </si>
  <si>
    <t>business_unit</t>
  </si>
  <si>
    <t>budgeted_revenue</t>
  </si>
  <si>
    <t>budgeted_expense</t>
  </si>
  <si>
    <t>Retail</t>
  </si>
  <si>
    <t>Enterprise</t>
  </si>
  <si>
    <t>Online</t>
  </si>
  <si>
    <t>combined_key</t>
  </si>
  <si>
    <t>dup_check(combined_key)</t>
  </si>
  <si>
    <t>dup_check(combined_key) is pk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</si>
</sst>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6"/>
      <color theme="1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34" borderId="0" xfId="0" applyFill="1" applyAlignment="1">
      <alignment horizontal="center"/>
    </xf>
    <xf numFmtId="0" fontId="0" fillId="0" borderId="0" xfId="0" applyAlignment="1">
      <alignment horizontal="center"/>
    </xf>
    <xf numFmtId="0" fontId="0" fillId="33" borderId="0" xfId="0" applyFill="1" applyAlignment="1">
      <alignment horizontal="center"/>
    </xf>
    <xf numFmtId="0" fontId="18" fillId="33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AE46D4-C372-41A1-BF52-547AF122260D}">
  <dimension ref="A1:H73"/>
  <sheetViews>
    <sheetView tabSelected="1" workbookViewId="0">
      <selection activeCell="G3" sqref="G3"/>
    </sheetView>
  </sheetViews>
  <sheetFormatPr defaultColWidth="22.5546875" defaultRowHeight="14.4" x14ac:dyDescent="0.3"/>
  <cols>
    <col min="6" max="6" width="22.5546875" style="2"/>
    <col min="7" max="7" width="24.21875" style="2" customWidth="1"/>
    <col min="8" max="8" width="39.2187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3" t="s">
        <v>8</v>
      </c>
      <c r="G1" s="3" t="s">
        <v>9</v>
      </c>
    </row>
    <row r="2" spans="1:8" x14ac:dyDescent="0.3">
      <c r="A2" s="2">
        <v>2022</v>
      </c>
      <c r="B2" s="2">
        <v>1</v>
      </c>
      <c r="C2" s="2" t="s">
        <v>5</v>
      </c>
      <c r="D2" s="2">
        <v>1530660</v>
      </c>
      <c r="E2" s="2">
        <v>1259760</v>
      </c>
      <c r="F2" s="2" t="str">
        <f>A2&amp;"-"&amp;B2&amp;"-"&amp;C2</f>
        <v>2022-1-Retail</v>
      </c>
      <c r="G2" s="2">
        <f>COUNTIF($F$2:$F$73,F2)</f>
        <v>1</v>
      </c>
    </row>
    <row r="3" spans="1:8" x14ac:dyDescent="0.3">
      <c r="A3" s="2">
        <v>2022</v>
      </c>
      <c r="B3" s="2">
        <v>1</v>
      </c>
      <c r="C3" s="2" t="s">
        <v>6</v>
      </c>
      <c r="D3" s="2">
        <v>1689240</v>
      </c>
      <c r="E3" s="2">
        <v>1152615</v>
      </c>
      <c r="F3" s="2" t="str">
        <f t="shared" ref="F3:F66" si="0">A3&amp;"-"&amp;B3&amp;"-"&amp;C3</f>
        <v>2022-1-Enterprise</v>
      </c>
      <c r="G3" s="2">
        <f t="shared" ref="G3:G66" si="1">COUNTIF($F$2:$F$73,F3)</f>
        <v>1</v>
      </c>
    </row>
    <row r="4" spans="1:8" x14ac:dyDescent="0.3">
      <c r="A4" s="2">
        <v>2022</v>
      </c>
      <c r="B4" s="2">
        <v>1</v>
      </c>
      <c r="C4" s="2" t="s">
        <v>7</v>
      </c>
      <c r="D4" s="2">
        <v>2069088</v>
      </c>
      <c r="E4" s="2">
        <v>1776169</v>
      </c>
      <c r="F4" s="2" t="str">
        <f t="shared" si="0"/>
        <v>2022-1-Online</v>
      </c>
      <c r="G4" s="2">
        <f t="shared" si="1"/>
        <v>1</v>
      </c>
    </row>
    <row r="5" spans="1:8" x14ac:dyDescent="0.3">
      <c r="A5" s="2">
        <v>2022</v>
      </c>
      <c r="B5" s="2">
        <v>2</v>
      </c>
      <c r="C5" s="2" t="s">
        <v>5</v>
      </c>
      <c r="D5" s="2">
        <v>1836984</v>
      </c>
      <c r="E5" s="2">
        <v>1201730</v>
      </c>
      <c r="F5" s="2" t="str">
        <f t="shared" si="0"/>
        <v>2022-2-Retail</v>
      </c>
      <c r="G5" s="2">
        <f t="shared" si="1"/>
        <v>1</v>
      </c>
    </row>
    <row r="6" spans="1:8" x14ac:dyDescent="0.3">
      <c r="A6" s="2">
        <v>2022</v>
      </c>
      <c r="B6" s="2">
        <v>2</v>
      </c>
      <c r="C6" s="2" t="s">
        <v>6</v>
      </c>
      <c r="D6" s="2">
        <v>1923012</v>
      </c>
      <c r="E6" s="2">
        <v>1454263</v>
      </c>
      <c r="F6" s="2" t="str">
        <f t="shared" si="0"/>
        <v>2022-2-Enterprise</v>
      </c>
      <c r="G6" s="2">
        <f t="shared" si="1"/>
        <v>1</v>
      </c>
    </row>
    <row r="7" spans="1:8" x14ac:dyDescent="0.3">
      <c r="A7" s="2">
        <v>2022</v>
      </c>
      <c r="B7" s="2">
        <v>2</v>
      </c>
      <c r="C7" s="2" t="s">
        <v>7</v>
      </c>
      <c r="D7" s="2">
        <v>1516272</v>
      </c>
      <c r="E7" s="2">
        <v>1117069</v>
      </c>
      <c r="F7" s="2" t="str">
        <f t="shared" si="0"/>
        <v>2022-2-Online</v>
      </c>
      <c r="G7" s="2">
        <f t="shared" si="1"/>
        <v>1</v>
      </c>
    </row>
    <row r="8" spans="1:8" x14ac:dyDescent="0.3">
      <c r="A8" s="2">
        <v>2022</v>
      </c>
      <c r="B8" s="2">
        <v>3</v>
      </c>
      <c r="C8" s="2" t="s">
        <v>5</v>
      </c>
      <c r="D8" s="2">
        <v>1510920</v>
      </c>
      <c r="E8" s="2">
        <v>1106833</v>
      </c>
      <c r="F8" s="2" t="str">
        <f t="shared" si="0"/>
        <v>2022-3-Retail</v>
      </c>
      <c r="G8" s="2">
        <f t="shared" si="1"/>
        <v>1</v>
      </c>
    </row>
    <row r="9" spans="1:8" x14ac:dyDescent="0.3">
      <c r="A9" s="2">
        <v>2022</v>
      </c>
      <c r="B9" s="2">
        <v>3</v>
      </c>
      <c r="C9" s="2" t="s">
        <v>6</v>
      </c>
      <c r="D9" s="2">
        <v>1576692</v>
      </c>
      <c r="E9" s="2">
        <v>959653</v>
      </c>
      <c r="F9" s="2" t="str">
        <f t="shared" si="0"/>
        <v>2022-3-Enterprise</v>
      </c>
      <c r="G9" s="2">
        <f t="shared" si="1"/>
        <v>1</v>
      </c>
    </row>
    <row r="10" spans="1:8" x14ac:dyDescent="0.3">
      <c r="A10" s="2">
        <v>2022</v>
      </c>
      <c r="B10" s="2">
        <v>3</v>
      </c>
      <c r="C10" s="2" t="s">
        <v>7</v>
      </c>
      <c r="D10" s="2">
        <v>2119464</v>
      </c>
      <c r="E10" s="2">
        <v>1677676</v>
      </c>
      <c r="F10" s="2" t="str">
        <f t="shared" si="0"/>
        <v>2022-3-Online</v>
      </c>
      <c r="G10" s="2">
        <f t="shared" si="1"/>
        <v>1</v>
      </c>
    </row>
    <row r="11" spans="1:8" x14ac:dyDescent="0.3">
      <c r="A11" s="2">
        <v>2022</v>
      </c>
      <c r="B11" s="2">
        <v>4</v>
      </c>
      <c r="C11" s="2" t="s">
        <v>5</v>
      </c>
      <c r="D11" s="2">
        <v>1731204</v>
      </c>
      <c r="E11" s="2">
        <v>1275919</v>
      </c>
      <c r="F11" s="2" t="str">
        <f t="shared" si="0"/>
        <v>2022-4-Retail</v>
      </c>
      <c r="G11" s="2">
        <f t="shared" si="1"/>
        <v>1</v>
      </c>
    </row>
    <row r="12" spans="1:8" ht="21" x14ac:dyDescent="0.4">
      <c r="A12" s="2">
        <v>2022</v>
      </c>
      <c r="B12" s="2">
        <v>4</v>
      </c>
      <c r="C12" s="2" t="s">
        <v>6</v>
      </c>
      <c r="D12" s="2">
        <v>2042184</v>
      </c>
      <c r="E12" s="2">
        <v>1592655</v>
      </c>
      <c r="F12" s="2" t="str">
        <f t="shared" si="0"/>
        <v>2022-4-Enterprise</v>
      </c>
      <c r="G12" s="2">
        <f t="shared" si="1"/>
        <v>1</v>
      </c>
      <c r="H12" s="4" t="s">
        <v>10</v>
      </c>
    </row>
    <row r="13" spans="1:8" x14ac:dyDescent="0.3">
      <c r="A13" s="2">
        <v>2022</v>
      </c>
      <c r="B13" s="2">
        <v>4</v>
      </c>
      <c r="C13" s="2" t="s">
        <v>7</v>
      </c>
      <c r="D13" s="2">
        <v>2132844</v>
      </c>
      <c r="E13" s="2">
        <v>1388082</v>
      </c>
      <c r="F13" s="2" t="str">
        <f t="shared" si="0"/>
        <v>2022-4-Online</v>
      </c>
      <c r="G13" s="2">
        <f t="shared" si="1"/>
        <v>1</v>
      </c>
    </row>
    <row r="14" spans="1:8" x14ac:dyDescent="0.3">
      <c r="A14" s="2">
        <v>2022</v>
      </c>
      <c r="B14" s="2">
        <v>5</v>
      </c>
      <c r="C14" s="2" t="s">
        <v>5</v>
      </c>
      <c r="D14" s="2">
        <v>1941312</v>
      </c>
      <c r="E14" s="2">
        <v>1464351</v>
      </c>
      <c r="F14" s="2" t="str">
        <f t="shared" si="0"/>
        <v>2022-5-Retail</v>
      </c>
      <c r="G14" s="2">
        <f t="shared" si="1"/>
        <v>1</v>
      </c>
    </row>
    <row r="15" spans="1:8" x14ac:dyDescent="0.3">
      <c r="A15" s="2">
        <v>2022</v>
      </c>
      <c r="B15" s="2">
        <v>5</v>
      </c>
      <c r="C15" s="2" t="s">
        <v>6</v>
      </c>
      <c r="D15" s="2">
        <v>1614000</v>
      </c>
      <c r="E15" s="2">
        <v>1241179</v>
      </c>
      <c r="F15" s="2" t="str">
        <f t="shared" si="0"/>
        <v>2022-5-Enterprise</v>
      </c>
      <c r="G15" s="2">
        <f t="shared" si="1"/>
        <v>1</v>
      </c>
    </row>
    <row r="16" spans="1:8" x14ac:dyDescent="0.3">
      <c r="A16" s="2">
        <v>2022</v>
      </c>
      <c r="B16" s="2">
        <v>5</v>
      </c>
      <c r="C16" s="2" t="s">
        <v>7</v>
      </c>
      <c r="D16" s="2">
        <v>2067444</v>
      </c>
      <c r="E16" s="2">
        <v>1506637</v>
      </c>
      <c r="F16" s="2" t="str">
        <f t="shared" si="0"/>
        <v>2022-5-Online</v>
      </c>
      <c r="G16" s="2">
        <f t="shared" si="1"/>
        <v>1</v>
      </c>
    </row>
    <row r="17" spans="1:7" x14ac:dyDescent="0.3">
      <c r="A17" s="2">
        <v>2022</v>
      </c>
      <c r="B17" s="2">
        <v>6</v>
      </c>
      <c r="C17" s="2" t="s">
        <v>5</v>
      </c>
      <c r="D17" s="2">
        <v>2269428</v>
      </c>
      <c r="E17" s="2">
        <v>2064497</v>
      </c>
      <c r="F17" s="2" t="str">
        <f t="shared" si="0"/>
        <v>2022-6-Retail</v>
      </c>
      <c r="G17" s="2">
        <f t="shared" si="1"/>
        <v>1</v>
      </c>
    </row>
    <row r="18" spans="1:7" x14ac:dyDescent="0.3">
      <c r="A18" s="2">
        <v>2022</v>
      </c>
      <c r="B18" s="2">
        <v>6</v>
      </c>
      <c r="C18" s="2" t="s">
        <v>6</v>
      </c>
      <c r="D18" s="2">
        <v>2156292</v>
      </c>
      <c r="E18" s="2">
        <v>1850978</v>
      </c>
      <c r="F18" s="2" t="str">
        <f t="shared" si="0"/>
        <v>2022-6-Enterprise</v>
      </c>
      <c r="G18" s="2">
        <f t="shared" si="1"/>
        <v>1</v>
      </c>
    </row>
    <row r="19" spans="1:7" x14ac:dyDescent="0.3">
      <c r="A19" s="2">
        <v>2022</v>
      </c>
      <c r="B19" s="2">
        <v>6</v>
      </c>
      <c r="C19" s="2" t="s">
        <v>7</v>
      </c>
      <c r="D19" s="2">
        <v>1828320</v>
      </c>
      <c r="E19" s="2">
        <v>1436298</v>
      </c>
      <c r="F19" s="2" t="str">
        <f t="shared" si="0"/>
        <v>2022-6-Online</v>
      </c>
      <c r="G19" s="2">
        <f t="shared" si="1"/>
        <v>1</v>
      </c>
    </row>
    <row r="20" spans="1:7" x14ac:dyDescent="0.3">
      <c r="A20" s="2">
        <v>2022</v>
      </c>
      <c r="B20" s="2">
        <v>7</v>
      </c>
      <c r="C20" s="2" t="s">
        <v>5</v>
      </c>
      <c r="D20" s="2">
        <v>2138832</v>
      </c>
      <c r="E20" s="2">
        <v>1861077</v>
      </c>
      <c r="F20" s="2" t="str">
        <f t="shared" si="0"/>
        <v>2022-7-Retail</v>
      </c>
      <c r="G20" s="2">
        <f t="shared" si="1"/>
        <v>1</v>
      </c>
    </row>
    <row r="21" spans="1:7" x14ac:dyDescent="0.3">
      <c r="A21" s="2">
        <v>2022</v>
      </c>
      <c r="B21" s="2">
        <v>7</v>
      </c>
      <c r="C21" s="2" t="s">
        <v>6</v>
      </c>
      <c r="D21" s="2">
        <v>1751964</v>
      </c>
      <c r="E21" s="2">
        <v>1339025</v>
      </c>
      <c r="F21" s="2" t="str">
        <f t="shared" si="0"/>
        <v>2022-7-Enterprise</v>
      </c>
      <c r="G21" s="2">
        <f t="shared" si="1"/>
        <v>1</v>
      </c>
    </row>
    <row r="22" spans="1:7" x14ac:dyDescent="0.3">
      <c r="A22" s="2">
        <v>2022</v>
      </c>
      <c r="B22" s="2">
        <v>7</v>
      </c>
      <c r="C22" s="2" t="s">
        <v>7</v>
      </c>
      <c r="D22" s="2">
        <v>2141004</v>
      </c>
      <c r="E22" s="2">
        <v>1418391</v>
      </c>
      <c r="F22" s="2" t="str">
        <f t="shared" si="0"/>
        <v>2022-7-Online</v>
      </c>
      <c r="G22" s="2">
        <f t="shared" si="1"/>
        <v>1</v>
      </c>
    </row>
    <row r="23" spans="1:7" x14ac:dyDescent="0.3">
      <c r="A23" s="2">
        <v>2022</v>
      </c>
      <c r="B23" s="2">
        <v>8</v>
      </c>
      <c r="C23" s="2" t="s">
        <v>5</v>
      </c>
      <c r="D23" s="2">
        <v>1908504</v>
      </c>
      <c r="E23" s="2">
        <v>1350911</v>
      </c>
      <c r="F23" s="2" t="str">
        <f t="shared" si="0"/>
        <v>2022-8-Retail</v>
      </c>
      <c r="G23" s="2">
        <f t="shared" si="1"/>
        <v>1</v>
      </c>
    </row>
    <row r="24" spans="1:7" x14ac:dyDescent="0.3">
      <c r="A24" s="2">
        <v>2022</v>
      </c>
      <c r="B24" s="2">
        <v>8</v>
      </c>
      <c r="C24" s="2" t="s">
        <v>6</v>
      </c>
      <c r="D24" s="2">
        <v>1867140</v>
      </c>
      <c r="E24" s="2">
        <v>1528990</v>
      </c>
      <c r="F24" s="2" t="str">
        <f t="shared" si="0"/>
        <v>2022-8-Enterprise</v>
      </c>
      <c r="G24" s="2">
        <f t="shared" si="1"/>
        <v>1</v>
      </c>
    </row>
    <row r="25" spans="1:7" x14ac:dyDescent="0.3">
      <c r="A25" s="2">
        <v>2022</v>
      </c>
      <c r="B25" s="2">
        <v>8</v>
      </c>
      <c r="C25" s="2" t="s">
        <v>7</v>
      </c>
      <c r="D25" s="2">
        <v>2223636</v>
      </c>
      <c r="E25" s="2">
        <v>1574826</v>
      </c>
      <c r="F25" s="2" t="str">
        <f t="shared" si="0"/>
        <v>2022-8-Online</v>
      </c>
      <c r="G25" s="2">
        <f t="shared" si="1"/>
        <v>1</v>
      </c>
    </row>
    <row r="26" spans="1:7" x14ac:dyDescent="0.3">
      <c r="A26" s="2">
        <v>2022</v>
      </c>
      <c r="B26" s="2">
        <v>9</v>
      </c>
      <c r="C26" s="2" t="s">
        <v>5</v>
      </c>
      <c r="D26" s="2">
        <v>1864728</v>
      </c>
      <c r="E26" s="2">
        <v>1155001</v>
      </c>
      <c r="F26" s="2" t="str">
        <f t="shared" si="0"/>
        <v>2022-9-Retail</v>
      </c>
      <c r="G26" s="2">
        <f t="shared" si="1"/>
        <v>1</v>
      </c>
    </row>
    <row r="27" spans="1:7" x14ac:dyDescent="0.3">
      <c r="A27" s="2">
        <v>2022</v>
      </c>
      <c r="B27" s="2">
        <v>9</v>
      </c>
      <c r="C27" s="2" t="s">
        <v>6</v>
      </c>
      <c r="D27" s="2">
        <v>1946100</v>
      </c>
      <c r="E27" s="2">
        <v>1217896</v>
      </c>
      <c r="F27" s="2" t="str">
        <f t="shared" si="0"/>
        <v>2022-9-Enterprise</v>
      </c>
      <c r="G27" s="2">
        <f t="shared" si="1"/>
        <v>1</v>
      </c>
    </row>
    <row r="28" spans="1:7" x14ac:dyDescent="0.3">
      <c r="A28" s="2">
        <v>2022</v>
      </c>
      <c r="B28" s="2">
        <v>9</v>
      </c>
      <c r="C28" s="2" t="s">
        <v>7</v>
      </c>
      <c r="D28" s="2">
        <v>2091276</v>
      </c>
      <c r="E28" s="2">
        <v>1872494</v>
      </c>
      <c r="F28" s="2" t="str">
        <f t="shared" si="0"/>
        <v>2022-9-Online</v>
      </c>
      <c r="G28" s="2">
        <f t="shared" si="1"/>
        <v>1</v>
      </c>
    </row>
    <row r="29" spans="1:7" x14ac:dyDescent="0.3">
      <c r="A29" s="2">
        <v>2022</v>
      </c>
      <c r="B29" s="2">
        <v>10</v>
      </c>
      <c r="C29" s="2" t="s">
        <v>5</v>
      </c>
      <c r="D29" s="2">
        <v>2136888</v>
      </c>
      <c r="E29" s="2">
        <v>1364682</v>
      </c>
      <c r="F29" s="2" t="str">
        <f t="shared" si="0"/>
        <v>2022-10-Retail</v>
      </c>
      <c r="G29" s="2">
        <f t="shared" si="1"/>
        <v>1</v>
      </c>
    </row>
    <row r="30" spans="1:7" x14ac:dyDescent="0.3">
      <c r="A30" s="2">
        <v>2022</v>
      </c>
      <c r="B30" s="2">
        <v>10</v>
      </c>
      <c r="C30" s="2" t="s">
        <v>6</v>
      </c>
      <c r="D30" s="2">
        <v>1818540</v>
      </c>
      <c r="E30" s="2">
        <v>1310868</v>
      </c>
      <c r="F30" s="2" t="str">
        <f t="shared" si="0"/>
        <v>2022-10-Enterprise</v>
      </c>
      <c r="G30" s="2">
        <f t="shared" si="1"/>
        <v>1</v>
      </c>
    </row>
    <row r="31" spans="1:7" x14ac:dyDescent="0.3">
      <c r="A31" s="2">
        <v>2022</v>
      </c>
      <c r="B31" s="2">
        <v>10</v>
      </c>
      <c r="C31" s="2" t="s">
        <v>7</v>
      </c>
      <c r="D31" s="2">
        <v>1545372</v>
      </c>
      <c r="E31" s="2">
        <v>1230762</v>
      </c>
      <c r="F31" s="2" t="str">
        <f t="shared" si="0"/>
        <v>2022-10-Online</v>
      </c>
      <c r="G31" s="2">
        <f t="shared" si="1"/>
        <v>1</v>
      </c>
    </row>
    <row r="32" spans="1:7" x14ac:dyDescent="0.3">
      <c r="A32" s="2">
        <v>2022</v>
      </c>
      <c r="B32" s="2">
        <v>11</v>
      </c>
      <c r="C32" s="2" t="s">
        <v>5</v>
      </c>
      <c r="D32" s="2">
        <v>2155812</v>
      </c>
      <c r="E32" s="2">
        <v>2019121</v>
      </c>
      <c r="F32" s="2" t="str">
        <f t="shared" si="0"/>
        <v>2022-11-Retail</v>
      </c>
      <c r="G32" s="2">
        <f t="shared" si="1"/>
        <v>1</v>
      </c>
    </row>
    <row r="33" spans="1:7" x14ac:dyDescent="0.3">
      <c r="A33" s="2">
        <v>2022</v>
      </c>
      <c r="B33" s="2">
        <v>11</v>
      </c>
      <c r="C33" s="2" t="s">
        <v>6</v>
      </c>
      <c r="D33" s="2">
        <v>1941984</v>
      </c>
      <c r="E33" s="2">
        <v>1299082</v>
      </c>
      <c r="F33" s="2" t="str">
        <f t="shared" si="0"/>
        <v>2022-11-Enterprise</v>
      </c>
      <c r="G33" s="2">
        <f t="shared" si="1"/>
        <v>1</v>
      </c>
    </row>
    <row r="34" spans="1:7" x14ac:dyDescent="0.3">
      <c r="A34" s="2">
        <v>2022</v>
      </c>
      <c r="B34" s="2">
        <v>11</v>
      </c>
      <c r="C34" s="2" t="s">
        <v>7</v>
      </c>
      <c r="D34" s="2">
        <v>1897800</v>
      </c>
      <c r="E34" s="2">
        <v>1222463</v>
      </c>
      <c r="F34" s="2" t="str">
        <f t="shared" si="0"/>
        <v>2022-11-Online</v>
      </c>
      <c r="G34" s="2">
        <f t="shared" si="1"/>
        <v>1</v>
      </c>
    </row>
    <row r="35" spans="1:7" x14ac:dyDescent="0.3">
      <c r="A35" s="2">
        <v>2022</v>
      </c>
      <c r="B35" s="2">
        <v>12</v>
      </c>
      <c r="C35" s="2" t="s">
        <v>5</v>
      </c>
      <c r="D35" s="2">
        <v>1880352</v>
      </c>
      <c r="E35" s="2">
        <v>1625767</v>
      </c>
      <c r="F35" s="2" t="str">
        <f t="shared" si="0"/>
        <v>2022-12-Retail</v>
      </c>
      <c r="G35" s="2">
        <f t="shared" si="1"/>
        <v>1</v>
      </c>
    </row>
    <row r="36" spans="1:7" x14ac:dyDescent="0.3">
      <c r="A36" s="2">
        <v>2022</v>
      </c>
      <c r="B36" s="2">
        <v>12</v>
      </c>
      <c r="C36" s="2" t="s">
        <v>6</v>
      </c>
      <c r="D36" s="2">
        <v>1543128</v>
      </c>
      <c r="E36" s="2">
        <v>1029907</v>
      </c>
      <c r="F36" s="2" t="str">
        <f t="shared" si="0"/>
        <v>2022-12-Enterprise</v>
      </c>
      <c r="G36" s="2">
        <f t="shared" si="1"/>
        <v>1</v>
      </c>
    </row>
    <row r="37" spans="1:7" x14ac:dyDescent="0.3">
      <c r="A37" s="2">
        <v>2022</v>
      </c>
      <c r="B37" s="2">
        <v>12</v>
      </c>
      <c r="C37" s="2" t="s">
        <v>7</v>
      </c>
      <c r="D37" s="2">
        <v>2000556</v>
      </c>
      <c r="E37" s="2">
        <v>1869553</v>
      </c>
      <c r="F37" s="2" t="str">
        <f t="shared" si="0"/>
        <v>2022-12-Online</v>
      </c>
      <c r="G37" s="2">
        <f t="shared" si="1"/>
        <v>1</v>
      </c>
    </row>
    <row r="38" spans="1:7" x14ac:dyDescent="0.3">
      <c r="A38" s="2">
        <v>2023</v>
      </c>
      <c r="B38" s="2">
        <v>1</v>
      </c>
      <c r="C38" s="2" t="s">
        <v>5</v>
      </c>
      <c r="D38" s="2">
        <v>1911132</v>
      </c>
      <c r="E38" s="2">
        <v>1494207</v>
      </c>
      <c r="F38" s="2" t="str">
        <f t="shared" si="0"/>
        <v>2023-1-Retail</v>
      </c>
      <c r="G38" s="2">
        <f t="shared" si="1"/>
        <v>1</v>
      </c>
    </row>
    <row r="39" spans="1:7" x14ac:dyDescent="0.3">
      <c r="A39" s="2">
        <v>2023</v>
      </c>
      <c r="B39" s="2">
        <v>1</v>
      </c>
      <c r="C39" s="2" t="s">
        <v>6</v>
      </c>
      <c r="D39" s="2">
        <v>1763448</v>
      </c>
      <c r="E39" s="2">
        <v>1241685</v>
      </c>
      <c r="F39" s="2" t="str">
        <f t="shared" si="0"/>
        <v>2023-1-Enterprise</v>
      </c>
      <c r="G39" s="2">
        <f t="shared" si="1"/>
        <v>1</v>
      </c>
    </row>
    <row r="40" spans="1:7" x14ac:dyDescent="0.3">
      <c r="A40" s="2">
        <v>2023</v>
      </c>
      <c r="B40" s="2">
        <v>1</v>
      </c>
      <c r="C40" s="2" t="s">
        <v>7</v>
      </c>
      <c r="D40" s="2">
        <v>2107800</v>
      </c>
      <c r="E40" s="2">
        <v>1685669</v>
      </c>
      <c r="F40" s="2" t="str">
        <f t="shared" si="0"/>
        <v>2023-1-Online</v>
      </c>
      <c r="G40" s="2">
        <f t="shared" si="1"/>
        <v>1</v>
      </c>
    </row>
    <row r="41" spans="1:7" x14ac:dyDescent="0.3">
      <c r="A41" s="2">
        <v>2023</v>
      </c>
      <c r="B41" s="2">
        <v>2</v>
      </c>
      <c r="C41" s="2" t="s">
        <v>5</v>
      </c>
      <c r="D41" s="2">
        <v>2254644</v>
      </c>
      <c r="E41" s="2">
        <v>1859934</v>
      </c>
      <c r="F41" s="2" t="str">
        <f t="shared" si="0"/>
        <v>2023-2-Retail</v>
      </c>
      <c r="G41" s="2">
        <f t="shared" si="1"/>
        <v>1</v>
      </c>
    </row>
    <row r="42" spans="1:7" x14ac:dyDescent="0.3">
      <c r="A42" s="2">
        <v>2023</v>
      </c>
      <c r="B42" s="2">
        <v>2</v>
      </c>
      <c r="C42" s="2" t="s">
        <v>6</v>
      </c>
      <c r="D42" s="2">
        <v>1761396</v>
      </c>
      <c r="E42" s="2">
        <v>1620831</v>
      </c>
      <c r="F42" s="2" t="str">
        <f t="shared" si="0"/>
        <v>2023-2-Enterprise</v>
      </c>
      <c r="G42" s="2">
        <f t="shared" si="1"/>
        <v>1</v>
      </c>
    </row>
    <row r="43" spans="1:7" x14ac:dyDescent="0.3">
      <c r="A43" s="2">
        <v>2023</v>
      </c>
      <c r="B43" s="2">
        <v>2</v>
      </c>
      <c r="C43" s="2" t="s">
        <v>7</v>
      </c>
      <c r="D43" s="2">
        <v>1467768</v>
      </c>
      <c r="E43" s="2">
        <v>1197161</v>
      </c>
      <c r="F43" s="2" t="str">
        <f t="shared" si="0"/>
        <v>2023-2-Online</v>
      </c>
      <c r="G43" s="2">
        <f t="shared" si="1"/>
        <v>1</v>
      </c>
    </row>
    <row r="44" spans="1:7" x14ac:dyDescent="0.3">
      <c r="A44" s="2">
        <v>2023</v>
      </c>
      <c r="B44" s="2">
        <v>3</v>
      </c>
      <c r="C44" s="2" t="s">
        <v>5</v>
      </c>
      <c r="D44" s="2">
        <v>1455840</v>
      </c>
      <c r="E44" s="2">
        <v>968065</v>
      </c>
      <c r="F44" s="2" t="str">
        <f t="shared" si="0"/>
        <v>2023-3-Retail</v>
      </c>
      <c r="G44" s="2">
        <f t="shared" si="1"/>
        <v>1</v>
      </c>
    </row>
    <row r="45" spans="1:7" x14ac:dyDescent="0.3">
      <c r="A45" s="2">
        <v>2023</v>
      </c>
      <c r="B45" s="2">
        <v>3</v>
      </c>
      <c r="C45" s="2" t="s">
        <v>6</v>
      </c>
      <c r="D45" s="2">
        <v>1958568</v>
      </c>
      <c r="E45" s="2">
        <v>1359716</v>
      </c>
      <c r="F45" s="2" t="str">
        <f t="shared" si="0"/>
        <v>2023-3-Enterprise</v>
      </c>
      <c r="G45" s="2">
        <f t="shared" si="1"/>
        <v>1</v>
      </c>
    </row>
    <row r="46" spans="1:7" x14ac:dyDescent="0.3">
      <c r="A46" s="2">
        <v>2023</v>
      </c>
      <c r="B46" s="2">
        <v>3</v>
      </c>
      <c r="C46" s="2" t="s">
        <v>7</v>
      </c>
      <c r="D46" s="2">
        <v>2236200</v>
      </c>
      <c r="E46" s="2">
        <v>2039587</v>
      </c>
      <c r="F46" s="2" t="str">
        <f t="shared" si="0"/>
        <v>2023-3-Online</v>
      </c>
      <c r="G46" s="2">
        <f t="shared" si="1"/>
        <v>1</v>
      </c>
    </row>
    <row r="47" spans="1:7" x14ac:dyDescent="0.3">
      <c r="A47" s="2">
        <v>2023</v>
      </c>
      <c r="B47" s="2">
        <v>4</v>
      </c>
      <c r="C47" s="2" t="s">
        <v>5</v>
      </c>
      <c r="D47" s="2">
        <v>1497672</v>
      </c>
      <c r="E47" s="2">
        <v>947304</v>
      </c>
      <c r="F47" s="2" t="str">
        <f t="shared" si="0"/>
        <v>2023-4-Retail</v>
      </c>
      <c r="G47" s="2">
        <f t="shared" si="1"/>
        <v>1</v>
      </c>
    </row>
    <row r="48" spans="1:7" x14ac:dyDescent="0.3">
      <c r="A48" s="2">
        <v>2023</v>
      </c>
      <c r="B48" s="2">
        <v>4</v>
      </c>
      <c r="C48" s="2" t="s">
        <v>6</v>
      </c>
      <c r="D48" s="2">
        <v>1447104</v>
      </c>
      <c r="E48" s="2">
        <v>1075355</v>
      </c>
      <c r="F48" s="2" t="str">
        <f t="shared" si="0"/>
        <v>2023-4-Enterprise</v>
      </c>
      <c r="G48" s="2">
        <f t="shared" si="1"/>
        <v>1</v>
      </c>
    </row>
    <row r="49" spans="1:7" x14ac:dyDescent="0.3">
      <c r="A49" s="2">
        <v>2023</v>
      </c>
      <c r="B49" s="2">
        <v>4</v>
      </c>
      <c r="C49" s="2" t="s">
        <v>7</v>
      </c>
      <c r="D49" s="2">
        <v>1478364</v>
      </c>
      <c r="E49" s="2">
        <v>906681</v>
      </c>
      <c r="F49" s="2" t="str">
        <f t="shared" si="0"/>
        <v>2023-4-Online</v>
      </c>
      <c r="G49" s="2">
        <f t="shared" si="1"/>
        <v>1</v>
      </c>
    </row>
    <row r="50" spans="1:7" x14ac:dyDescent="0.3">
      <c r="A50" s="2">
        <v>2023</v>
      </c>
      <c r="B50" s="2">
        <v>5</v>
      </c>
      <c r="C50" s="2" t="s">
        <v>5</v>
      </c>
      <c r="D50" s="2">
        <v>1536324</v>
      </c>
      <c r="E50" s="2">
        <v>966907</v>
      </c>
      <c r="F50" s="2" t="str">
        <f t="shared" si="0"/>
        <v>2023-5-Retail</v>
      </c>
      <c r="G50" s="2">
        <f t="shared" si="1"/>
        <v>1</v>
      </c>
    </row>
    <row r="51" spans="1:7" x14ac:dyDescent="0.3">
      <c r="A51" s="2">
        <v>2023</v>
      </c>
      <c r="B51" s="2">
        <v>5</v>
      </c>
      <c r="C51" s="2" t="s">
        <v>6</v>
      </c>
      <c r="D51" s="2">
        <v>1962300</v>
      </c>
      <c r="E51" s="2">
        <v>1549494</v>
      </c>
      <c r="F51" s="2" t="str">
        <f t="shared" si="0"/>
        <v>2023-5-Enterprise</v>
      </c>
      <c r="G51" s="2">
        <f t="shared" si="1"/>
        <v>1</v>
      </c>
    </row>
    <row r="52" spans="1:7" x14ac:dyDescent="0.3">
      <c r="A52" s="2">
        <v>2023</v>
      </c>
      <c r="B52" s="2">
        <v>5</v>
      </c>
      <c r="C52" s="2" t="s">
        <v>7</v>
      </c>
      <c r="D52" s="2">
        <v>2177532</v>
      </c>
      <c r="E52" s="2">
        <v>1714311</v>
      </c>
      <c r="F52" s="2" t="str">
        <f t="shared" si="0"/>
        <v>2023-5-Online</v>
      </c>
      <c r="G52" s="2">
        <f t="shared" si="1"/>
        <v>1</v>
      </c>
    </row>
    <row r="53" spans="1:7" x14ac:dyDescent="0.3">
      <c r="A53" s="2">
        <v>2023</v>
      </c>
      <c r="B53" s="2">
        <v>6</v>
      </c>
      <c r="C53" s="2" t="s">
        <v>5</v>
      </c>
      <c r="D53" s="2">
        <v>1546296</v>
      </c>
      <c r="E53" s="2">
        <v>1072712</v>
      </c>
      <c r="F53" s="2" t="str">
        <f t="shared" si="0"/>
        <v>2023-6-Retail</v>
      </c>
      <c r="G53" s="2">
        <f t="shared" si="1"/>
        <v>1</v>
      </c>
    </row>
    <row r="54" spans="1:7" x14ac:dyDescent="0.3">
      <c r="A54" s="2">
        <v>2023</v>
      </c>
      <c r="B54" s="2">
        <v>6</v>
      </c>
      <c r="C54" s="2" t="s">
        <v>6</v>
      </c>
      <c r="D54" s="2">
        <v>2064216</v>
      </c>
      <c r="E54" s="2">
        <v>1327689</v>
      </c>
      <c r="F54" s="2" t="str">
        <f t="shared" si="0"/>
        <v>2023-6-Enterprise</v>
      </c>
      <c r="G54" s="2">
        <f t="shared" si="1"/>
        <v>1</v>
      </c>
    </row>
    <row r="55" spans="1:7" x14ac:dyDescent="0.3">
      <c r="A55" s="2">
        <v>2023</v>
      </c>
      <c r="B55" s="2">
        <v>6</v>
      </c>
      <c r="C55" s="2" t="s">
        <v>7</v>
      </c>
      <c r="D55" s="2">
        <v>2277540</v>
      </c>
      <c r="E55" s="2">
        <v>1794023</v>
      </c>
      <c r="F55" s="2" t="str">
        <f t="shared" si="0"/>
        <v>2023-6-Online</v>
      </c>
      <c r="G55" s="2">
        <f t="shared" si="1"/>
        <v>1</v>
      </c>
    </row>
    <row r="56" spans="1:7" x14ac:dyDescent="0.3">
      <c r="A56" s="2">
        <v>2023</v>
      </c>
      <c r="B56" s="2">
        <v>7</v>
      </c>
      <c r="C56" s="2" t="s">
        <v>5</v>
      </c>
      <c r="D56" s="2">
        <v>1646928</v>
      </c>
      <c r="E56" s="2">
        <v>1447498</v>
      </c>
      <c r="F56" s="2" t="str">
        <f t="shared" si="0"/>
        <v>2023-7-Retail</v>
      </c>
      <c r="G56" s="2">
        <f t="shared" si="1"/>
        <v>1</v>
      </c>
    </row>
    <row r="57" spans="1:7" x14ac:dyDescent="0.3">
      <c r="A57" s="2">
        <v>2023</v>
      </c>
      <c r="B57" s="2">
        <v>7</v>
      </c>
      <c r="C57" s="2" t="s">
        <v>6</v>
      </c>
      <c r="D57" s="2">
        <v>1708104</v>
      </c>
      <c r="E57" s="2">
        <v>1404083</v>
      </c>
      <c r="F57" s="2" t="str">
        <f t="shared" si="0"/>
        <v>2023-7-Enterprise</v>
      </c>
      <c r="G57" s="2">
        <f t="shared" si="1"/>
        <v>1</v>
      </c>
    </row>
    <row r="58" spans="1:7" x14ac:dyDescent="0.3">
      <c r="A58" s="2">
        <v>2023</v>
      </c>
      <c r="B58" s="2">
        <v>7</v>
      </c>
      <c r="C58" s="2" t="s">
        <v>7</v>
      </c>
      <c r="D58" s="2">
        <v>1646472</v>
      </c>
      <c r="E58" s="2">
        <v>1550629</v>
      </c>
      <c r="F58" s="2" t="str">
        <f t="shared" si="0"/>
        <v>2023-7-Online</v>
      </c>
      <c r="G58" s="2">
        <f t="shared" si="1"/>
        <v>1</v>
      </c>
    </row>
    <row r="59" spans="1:7" x14ac:dyDescent="0.3">
      <c r="A59" s="2">
        <v>2023</v>
      </c>
      <c r="B59" s="2">
        <v>8</v>
      </c>
      <c r="C59" s="2" t="s">
        <v>5</v>
      </c>
      <c r="D59" s="2">
        <v>2053608</v>
      </c>
      <c r="E59" s="2">
        <v>1752327</v>
      </c>
      <c r="F59" s="2" t="str">
        <f t="shared" si="0"/>
        <v>2023-8-Retail</v>
      </c>
      <c r="G59" s="2">
        <f t="shared" si="1"/>
        <v>1</v>
      </c>
    </row>
    <row r="60" spans="1:7" x14ac:dyDescent="0.3">
      <c r="A60" s="2">
        <v>2023</v>
      </c>
      <c r="B60" s="2">
        <v>8</v>
      </c>
      <c r="C60" s="2" t="s">
        <v>6</v>
      </c>
      <c r="D60" s="2">
        <v>1609344</v>
      </c>
      <c r="E60" s="2">
        <v>1243372</v>
      </c>
      <c r="F60" s="2" t="str">
        <f t="shared" si="0"/>
        <v>2023-8-Enterprise</v>
      </c>
      <c r="G60" s="2">
        <f t="shared" si="1"/>
        <v>1</v>
      </c>
    </row>
    <row r="61" spans="1:7" x14ac:dyDescent="0.3">
      <c r="A61" s="2">
        <v>2023</v>
      </c>
      <c r="B61" s="2">
        <v>8</v>
      </c>
      <c r="C61" s="2" t="s">
        <v>7</v>
      </c>
      <c r="D61" s="2">
        <v>1947864</v>
      </c>
      <c r="E61" s="2">
        <v>1378878</v>
      </c>
      <c r="F61" s="2" t="str">
        <f t="shared" si="0"/>
        <v>2023-8-Online</v>
      </c>
      <c r="G61" s="2">
        <f t="shared" si="1"/>
        <v>1</v>
      </c>
    </row>
    <row r="62" spans="1:7" x14ac:dyDescent="0.3">
      <c r="A62" s="2">
        <v>2023</v>
      </c>
      <c r="B62" s="2">
        <v>9</v>
      </c>
      <c r="C62" s="2" t="s">
        <v>5</v>
      </c>
      <c r="D62" s="2">
        <v>2038596</v>
      </c>
      <c r="E62" s="2">
        <v>1670006</v>
      </c>
      <c r="F62" s="2" t="str">
        <f t="shared" si="0"/>
        <v>2023-9-Retail</v>
      </c>
      <c r="G62" s="2">
        <f t="shared" si="1"/>
        <v>1</v>
      </c>
    </row>
    <row r="63" spans="1:7" x14ac:dyDescent="0.3">
      <c r="A63" s="2">
        <v>2023</v>
      </c>
      <c r="B63" s="2">
        <v>9</v>
      </c>
      <c r="C63" s="2" t="s">
        <v>6</v>
      </c>
      <c r="D63" s="2">
        <v>1803924</v>
      </c>
      <c r="E63" s="2">
        <v>1648132</v>
      </c>
      <c r="F63" s="2" t="str">
        <f t="shared" si="0"/>
        <v>2023-9-Enterprise</v>
      </c>
      <c r="G63" s="2">
        <f t="shared" si="1"/>
        <v>1</v>
      </c>
    </row>
    <row r="64" spans="1:7" x14ac:dyDescent="0.3">
      <c r="A64" s="2">
        <v>2023</v>
      </c>
      <c r="B64" s="2">
        <v>9</v>
      </c>
      <c r="C64" s="2" t="s">
        <v>7</v>
      </c>
      <c r="D64" s="2">
        <v>2014596</v>
      </c>
      <c r="E64" s="2">
        <v>1867683</v>
      </c>
      <c r="F64" s="2" t="str">
        <f t="shared" si="0"/>
        <v>2023-9-Online</v>
      </c>
      <c r="G64" s="2">
        <f t="shared" si="1"/>
        <v>1</v>
      </c>
    </row>
    <row r="65" spans="1:7" x14ac:dyDescent="0.3">
      <c r="A65" s="2">
        <v>2023</v>
      </c>
      <c r="B65" s="2">
        <v>10</v>
      </c>
      <c r="C65" s="2" t="s">
        <v>5</v>
      </c>
      <c r="D65" s="2">
        <v>1539204</v>
      </c>
      <c r="E65" s="2">
        <v>1054276</v>
      </c>
      <c r="F65" s="2" t="str">
        <f t="shared" si="0"/>
        <v>2023-10-Retail</v>
      </c>
      <c r="G65" s="2">
        <f t="shared" si="1"/>
        <v>1</v>
      </c>
    </row>
    <row r="66" spans="1:7" x14ac:dyDescent="0.3">
      <c r="A66" s="2">
        <v>2023</v>
      </c>
      <c r="B66" s="2">
        <v>10</v>
      </c>
      <c r="C66" s="2" t="s">
        <v>6</v>
      </c>
      <c r="D66" s="2">
        <v>2257884</v>
      </c>
      <c r="E66" s="2">
        <v>1762094</v>
      </c>
      <c r="F66" s="2" t="str">
        <f t="shared" si="0"/>
        <v>2023-10-Enterprise</v>
      </c>
      <c r="G66" s="2">
        <f t="shared" si="1"/>
        <v>1</v>
      </c>
    </row>
    <row r="67" spans="1:7" x14ac:dyDescent="0.3">
      <c r="A67" s="2">
        <v>2023</v>
      </c>
      <c r="B67" s="2">
        <v>10</v>
      </c>
      <c r="C67" s="2" t="s">
        <v>7</v>
      </c>
      <c r="D67" s="2">
        <v>2233884</v>
      </c>
      <c r="E67" s="2">
        <v>1881397</v>
      </c>
      <c r="F67" s="2" t="str">
        <f t="shared" ref="F67:F73" si="2">A67&amp;"-"&amp;B67&amp;"-"&amp;C67</f>
        <v>2023-10-Online</v>
      </c>
      <c r="G67" s="2">
        <f t="shared" ref="G67:G73" si="3">COUNTIF($F$2:$F$73,F67)</f>
        <v>1</v>
      </c>
    </row>
    <row r="68" spans="1:7" x14ac:dyDescent="0.3">
      <c r="A68" s="2">
        <v>2023</v>
      </c>
      <c r="B68" s="2">
        <v>11</v>
      </c>
      <c r="C68" s="2" t="s">
        <v>5</v>
      </c>
      <c r="D68" s="2">
        <v>1459224</v>
      </c>
      <c r="E68" s="2">
        <v>1208692</v>
      </c>
      <c r="F68" s="2" t="str">
        <f t="shared" si="2"/>
        <v>2023-11-Retail</v>
      </c>
      <c r="G68" s="2">
        <f t="shared" si="3"/>
        <v>1</v>
      </c>
    </row>
    <row r="69" spans="1:7" x14ac:dyDescent="0.3">
      <c r="A69" s="2">
        <v>2023</v>
      </c>
      <c r="B69" s="2">
        <v>11</v>
      </c>
      <c r="C69" s="2" t="s">
        <v>6</v>
      </c>
      <c r="D69" s="2">
        <v>2224500</v>
      </c>
      <c r="E69" s="2">
        <v>1880110</v>
      </c>
      <c r="F69" s="2" t="str">
        <f t="shared" si="2"/>
        <v>2023-11-Enterprise</v>
      </c>
      <c r="G69" s="2">
        <f t="shared" si="3"/>
        <v>1</v>
      </c>
    </row>
    <row r="70" spans="1:7" x14ac:dyDescent="0.3">
      <c r="A70" s="2">
        <v>2023</v>
      </c>
      <c r="B70" s="2">
        <v>11</v>
      </c>
      <c r="C70" s="2" t="s">
        <v>7</v>
      </c>
      <c r="D70" s="2">
        <v>1820280</v>
      </c>
      <c r="E70" s="2">
        <v>1364966</v>
      </c>
      <c r="F70" s="2" t="str">
        <f t="shared" si="2"/>
        <v>2023-11-Online</v>
      </c>
      <c r="G70" s="2">
        <f t="shared" si="3"/>
        <v>1</v>
      </c>
    </row>
    <row r="71" spans="1:7" x14ac:dyDescent="0.3">
      <c r="A71" s="2">
        <v>2023</v>
      </c>
      <c r="B71" s="2">
        <v>12</v>
      </c>
      <c r="C71" s="2" t="s">
        <v>5</v>
      </c>
      <c r="D71" s="2">
        <v>1988016</v>
      </c>
      <c r="E71" s="2">
        <v>1350159</v>
      </c>
      <c r="F71" s="2" t="str">
        <f t="shared" si="2"/>
        <v>2023-12-Retail</v>
      </c>
      <c r="G71" s="2">
        <f t="shared" si="3"/>
        <v>1</v>
      </c>
    </row>
    <row r="72" spans="1:7" x14ac:dyDescent="0.3">
      <c r="A72" s="2">
        <v>2023</v>
      </c>
      <c r="B72" s="2">
        <v>12</v>
      </c>
      <c r="C72" s="2" t="s">
        <v>6</v>
      </c>
      <c r="D72" s="2">
        <v>2245428</v>
      </c>
      <c r="E72" s="2">
        <v>1499851</v>
      </c>
      <c r="F72" s="2" t="str">
        <f t="shared" si="2"/>
        <v>2023-12-Enterprise</v>
      </c>
      <c r="G72" s="2">
        <f t="shared" si="3"/>
        <v>1</v>
      </c>
    </row>
    <row r="73" spans="1:7" x14ac:dyDescent="0.3">
      <c r="A73" s="2">
        <v>2023</v>
      </c>
      <c r="B73" s="2">
        <v>12</v>
      </c>
      <c r="C73" s="2" t="s">
        <v>7</v>
      </c>
      <c r="D73" s="2">
        <v>2263008</v>
      </c>
      <c r="E73" s="2">
        <v>1662605</v>
      </c>
      <c r="F73" s="2" t="str">
        <f t="shared" si="2"/>
        <v>2023-12-Online</v>
      </c>
      <c r="G73" s="2">
        <f t="shared" si="3"/>
        <v>1</v>
      </c>
    </row>
  </sheetData>
  <autoFilter ref="A1:G73" xr:uid="{1EAE46D4-C372-41A1-BF52-547AF122260D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Budget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Goutam Sarkar</dc:creator>
  <cp:lastModifiedBy>gopal sarkar</cp:lastModifiedBy>
  <dcterms:created xsi:type="dcterms:W3CDTF">2026-09-07T22:07:59Z</dcterms:created>
  <dcterms:modified xsi:type="dcterms:W3CDTF">2026-09-09T01:49:13Z</dcterms:modified>
</cp:coreProperties>
</file>